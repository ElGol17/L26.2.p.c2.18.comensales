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OOM\Documents\Programación 1\Corte 2\Proyectos Corte 2\L26.2.p.c2.18.comensales\resources\"/>
    </mc:Choice>
  </mc:AlternateContent>
  <xr:revisionPtr revIDLastSave="0" documentId="13_ncr:1_{2663D86C-7D56-46AC-B244-5428D9C153F6}" xr6:coauthVersionLast="47" xr6:coauthVersionMax="47" xr10:uidLastSave="{00000000-0000-0000-0000-000000000000}"/>
  <bookViews>
    <workbookView xWindow="3210" yWindow="1035" windowWidth="15375" windowHeight="862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I22" i="1"/>
  <c r="I23" i="1"/>
  <c r="L11" i="1"/>
  <c r="K11" i="1"/>
  <c r="K10" i="1" s="1"/>
  <c r="J11" i="1"/>
  <c r="L10" i="1"/>
  <c r="J10" i="1"/>
  <c r="L9" i="1"/>
  <c r="K9" i="1"/>
  <c r="K8" i="1" s="1"/>
  <c r="J9" i="1"/>
  <c r="L8" i="1"/>
  <c r="J8" i="1"/>
  <c r="L7" i="1"/>
  <c r="K7" i="1"/>
  <c r="K6" i="1" s="1"/>
  <c r="J7" i="1"/>
  <c r="L6" i="1"/>
  <c r="J6" i="1"/>
  <c r="L5" i="1"/>
  <c r="K5" i="1"/>
  <c r="K4" i="1" s="1"/>
  <c r="J5" i="1"/>
  <c r="J4" i="1"/>
  <c r="L4" i="1"/>
  <c r="G11" i="1"/>
  <c r="H11" i="1" s="1"/>
  <c r="G10" i="1"/>
  <c r="H10" i="1" s="1"/>
  <c r="G9" i="1"/>
  <c r="H9" i="1" s="1"/>
  <c r="G8" i="1"/>
  <c r="H8" i="1" s="1"/>
  <c r="G7" i="1"/>
  <c r="H7" i="1" s="1"/>
  <c r="G6" i="1"/>
  <c r="H6" i="1" s="1"/>
  <c r="G5" i="1"/>
  <c r="H5" i="1" s="1"/>
  <c r="G4" i="1"/>
  <c r="H4" i="1" s="1"/>
  <c r="I18" i="1" l="1"/>
  <c r="I20" i="1"/>
  <c r="I17" i="1"/>
  <c r="I19" i="1"/>
  <c r="I8" i="1"/>
  <c r="I11" i="1"/>
  <c r="I7" i="1"/>
  <c r="I10" i="1"/>
  <c r="I6" i="1"/>
  <c r="I9" i="1"/>
  <c r="I5" i="1"/>
  <c r="I4" i="1"/>
  <c r="I26" i="1" l="1"/>
  <c r="I25" i="1"/>
  <c r="I24" i="1"/>
  <c r="M4" i="1"/>
  <c r="N11" i="1"/>
  <c r="N9" i="1"/>
  <c r="N7" i="1"/>
  <c r="M10" i="1"/>
  <c r="M6" i="1"/>
  <c r="M11" i="1"/>
  <c r="M9" i="1"/>
  <c r="M7" i="1"/>
  <c r="N10" i="1"/>
  <c r="N8" i="1"/>
  <c r="N6" i="1"/>
  <c r="M8" i="1"/>
  <c r="M5" i="1"/>
  <c r="N5" i="1"/>
  <c r="N4" i="1"/>
</calcChain>
</file>

<file path=xl/sharedStrings.xml><?xml version="1.0" encoding="utf-8"?>
<sst xmlns="http://schemas.openxmlformats.org/spreadsheetml/2006/main" count="49" uniqueCount="43">
  <si>
    <t>COMENSALES</t>
  </si>
  <si>
    <t>nombre</t>
  </si>
  <si>
    <t>apellido</t>
  </si>
  <si>
    <t>cedula</t>
  </si>
  <si>
    <t>sexo</t>
  </si>
  <si>
    <t>fechaNacimiento</t>
  </si>
  <si>
    <t>turnoComida</t>
  </si>
  <si>
    <t>get edad()</t>
  </si>
  <si>
    <t>get costo()</t>
  </si>
  <si>
    <t>aplicaDescuento()</t>
  </si>
  <si>
    <t>prctDesayuno()</t>
  </si>
  <si>
    <t>prctAlmuerzo()</t>
  </si>
  <si>
    <t>prctAmbos()</t>
  </si>
  <si>
    <t>prctDescuento()</t>
  </si>
  <si>
    <t>prctSinDescuento()</t>
  </si>
  <si>
    <t>José</t>
  </si>
  <si>
    <t>Martínez</t>
  </si>
  <si>
    <t>Carlos</t>
  </si>
  <si>
    <t>Pérez</t>
  </si>
  <si>
    <t>María</t>
  </si>
  <si>
    <t>Gustavo</t>
  </si>
  <si>
    <t>González</t>
  </si>
  <si>
    <t>Daniela</t>
  </si>
  <si>
    <t>Torres</t>
  </si>
  <si>
    <t>Brandon</t>
  </si>
  <si>
    <t>Figueroa</t>
  </si>
  <si>
    <t>Génesis</t>
  </si>
  <si>
    <t>Vidal</t>
  </si>
  <si>
    <t>César</t>
  </si>
  <si>
    <t>Peñaloza</t>
  </si>
  <si>
    <t>García</t>
  </si>
  <si>
    <t>M</t>
  </si>
  <si>
    <t>F</t>
  </si>
  <si>
    <t>Total de Costos:</t>
  </si>
  <si>
    <t>Total de Desayuno:</t>
  </si>
  <si>
    <t xml:space="preserve">Total de Almuerzo: </t>
  </si>
  <si>
    <t xml:space="preserve">Total de Ambos: </t>
  </si>
  <si>
    <t xml:space="preserve">Porcentaje de Desayuno: </t>
  </si>
  <si>
    <t>Porcentaje de Almuerzo:</t>
  </si>
  <si>
    <t>Porcentaje de Ambos:</t>
  </si>
  <si>
    <t>Porcentaje con Descuento:</t>
  </si>
  <si>
    <t>Porcentaje sin Descuento:</t>
  </si>
  <si>
    <t xml:space="preserve">Total de descuentos: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</si>
</sst>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[$$-409]#,##0"/>
    <numFmt numFmtId="167" formatCode="[$$-540A]#,##0.00"/>
    <numFmt numFmtId="169" formatCode="[$$-409]#,##0.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3" borderId="1" xfId="0" applyFill="1" applyBorder="1"/>
    <xf numFmtId="0" fontId="0" fillId="0" borderId="1" xfId="0" applyBorder="1"/>
    <xf numFmtId="0" fontId="0" fillId="3" borderId="3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4" borderId="4" xfId="0" applyFill="1" applyBorder="1"/>
    <xf numFmtId="0" fontId="0" fillId="4" borderId="3" xfId="0" applyFill="1" applyBorder="1"/>
    <xf numFmtId="10" fontId="0" fillId="3" borderId="3" xfId="1" applyNumberFormat="1" applyFont="1" applyFill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10" fontId="0" fillId="0" borderId="0" xfId="1" applyNumberFormat="1" applyFont="1" applyAlignment="1">
      <alignment horizontal="center"/>
    </xf>
    <xf numFmtId="10" fontId="4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4" fillId="0" borderId="0" xfId="0" applyNumberFormat="1" applyFont="1" applyAlignment="1">
      <alignment horizontal="center"/>
    </xf>
    <xf numFmtId="0" fontId="5" fillId="0" borderId="0" xfId="0" applyFont="1"/>
    <xf numFmtId="167" fontId="0" fillId="4" borderId="3" xfId="0" applyNumberFormat="1" applyFill="1" applyBorder="1" applyAlignment="1">
      <alignment horizontal="center"/>
    </xf>
    <xf numFmtId="167" fontId="0" fillId="3" borderId="3" xfId="0" applyNumberFormat="1" applyFill="1" applyBorder="1" applyAlignment="1">
      <alignment horizontal="center"/>
    </xf>
    <xf numFmtId="169" fontId="0" fillId="0" borderId="0" xfId="1" applyNumberFormat="1" applyFont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7" fontId="0" fillId="4" borderId="4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"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2EA614-C4B1-4C3C-A2D8-073DF3B07B5D}" name="Table1" displayName="Table1" ref="A3:A11" totalsRowShown="0" headerRowDxfId="1" tableBorderDxfId="0">
  <autoFilter ref="A3:A11" xr:uid="{BD2EA614-C4B1-4C3C-A2D8-073DF3B07B5D}"/>
  <tableColumns count="1">
    <tableColumn id="1" xr3:uid="{7B1C9C2E-E839-4CCF-B9D1-D37F0EFED642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="90" zoomScaleNormal="90" workbookViewId="0">
      <selection activeCell="I4" sqref="I4"/>
    </sheetView>
  </sheetViews>
  <sheetFormatPr defaultRowHeight="15"/>
  <cols>
    <col min="1" max="1" width="10.140625" customWidth="1"/>
    <col min="3" max="3" width="6.85546875" customWidth="1"/>
    <col min="4" max="4" width="5.7109375" customWidth="1"/>
    <col min="5" max="5" width="16" customWidth="1"/>
    <col min="6" max="6" width="12.140625" customWidth="1"/>
    <col min="7" max="7" width="10" customWidth="1"/>
    <col min="8" max="8" width="10.5703125" customWidth="1"/>
    <col min="9" max="9" width="17" customWidth="1"/>
    <col min="10" max="10" width="14.28515625" customWidth="1"/>
    <col min="11" max="11" width="14" customWidth="1"/>
    <col min="12" max="12" width="11.5703125" customWidth="1"/>
    <col min="13" max="13" width="15" customWidth="1"/>
    <col min="14" max="14" width="17.85546875" customWidth="1"/>
  </cols>
  <sheetData>
    <row r="1" spans="1:14" ht="18.75">
      <c r="A1" s="1" t="s">
        <v>0</v>
      </c>
      <c r="D1" s="1"/>
      <c r="E1" s="22"/>
    </row>
    <row r="3" spans="1:1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>
      <c r="A4" s="3" t="s">
        <v>15</v>
      </c>
      <c r="B4" s="3" t="s">
        <v>16</v>
      </c>
      <c r="C4" s="6">
        <v>111</v>
      </c>
      <c r="D4" s="6" t="s">
        <v>32</v>
      </c>
      <c r="E4" s="11">
        <v>37422</v>
      </c>
      <c r="F4" s="6">
        <v>1</v>
      </c>
      <c r="G4" s="10">
        <f t="shared" ref="G4:G11" ca="1" si="0">DATEDIF(E4, TODAY(), "y")</f>
        <v>23</v>
      </c>
      <c r="H4" s="24">
        <f ca="1">IF(OR(AND(G4&gt;50, D4="F"), AND(G4&gt;60, D4="M")), IF(F4=1, 5, IF(F4=2, 7, 10)) * 0.5, IF(F4=1, 5, IF(F4=2, 7, 10)))</f>
        <v>5</v>
      </c>
      <c r="I4" s="5" t="b">
        <f ca="1">OR(AND(G4&gt;50, D4="F"), AND(G4&gt;60, D4="M"))</f>
        <v>0</v>
      </c>
      <c r="J4" s="15">
        <f>COUNTIF($F$4:F4, 1) / COUNTA($B$4:B4)</f>
        <v>1</v>
      </c>
      <c r="K4" s="15">
        <f>K5</f>
        <v>0</v>
      </c>
      <c r="L4" s="15">
        <f>COUNTIF($F$4:F4, 3) / COUNTA($B$4:B4)</f>
        <v>0</v>
      </c>
      <c r="M4" s="15">
        <f ca="1">COUNTIF($I$4:I4, TRUE) / COUNTA($B$4:B4)</f>
        <v>0</v>
      </c>
      <c r="N4" s="15">
        <f ca="1">COUNTIF($I$4:I4, FALSE) / COUNTA($B$4:B4)</f>
        <v>1</v>
      </c>
    </row>
    <row r="5" spans="1:14">
      <c r="A5" s="4" t="s">
        <v>17</v>
      </c>
      <c r="B5" s="4" t="s">
        <v>18</v>
      </c>
      <c r="C5" s="7">
        <v>222</v>
      </c>
      <c r="D5" s="7" t="s">
        <v>32</v>
      </c>
      <c r="E5" s="12">
        <v>40019</v>
      </c>
      <c r="F5" s="7">
        <v>1</v>
      </c>
      <c r="G5" s="9">
        <f t="shared" ca="1" si="0"/>
        <v>16</v>
      </c>
      <c r="H5" s="23">
        <f t="shared" ref="H5:H11" ca="1" si="1">IF(OR(AND(G5&gt;50, D5="F"), AND(G5&gt;60, D5="M")), IF(F5=1, 5, IF(F5=2, 7, 10)) * 0.5, IF(F5=1, 5, IF(F5=2, 7, 10)))</f>
        <v>5</v>
      </c>
      <c r="I5" s="14" t="b">
        <f t="shared" ref="I5:I11" ca="1" si="2">OR(AND(G5&gt;50, D5="F"), AND(G5&gt;60, D5="M"))</f>
        <v>0</v>
      </c>
      <c r="J5" s="16">
        <f>COUNTIF($F$4:F5, 1) / COUNTA($B$4:B5)</f>
        <v>1</v>
      </c>
      <c r="K5" s="16">
        <f>COUNTIF($F$4:F5, 2) / COUNTA($B$4:B5)</f>
        <v>0</v>
      </c>
      <c r="L5" s="16">
        <f>COUNTIF($F$4:F5, 3) / COUNTA($B$4:B5)</f>
        <v>0</v>
      </c>
      <c r="M5" s="16">
        <f ca="1">COUNTIF($I$4:I5, TRUE) / COUNTA($B$4:B5)</f>
        <v>0</v>
      </c>
      <c r="N5" s="16">
        <f ca="1">COUNTIF($I$4:I5, FALSE) / COUNTA($B$4:B5)</f>
        <v>1</v>
      </c>
    </row>
    <row r="6" spans="1:14">
      <c r="A6" s="3" t="s">
        <v>19</v>
      </c>
      <c r="B6" s="3" t="s">
        <v>30</v>
      </c>
      <c r="C6" s="6">
        <v>333</v>
      </c>
      <c r="D6" s="6" t="s">
        <v>31</v>
      </c>
      <c r="E6" s="11">
        <v>24005</v>
      </c>
      <c r="F6" s="6">
        <v>1</v>
      </c>
      <c r="G6" s="10">
        <f t="shared" ca="1" si="0"/>
        <v>60</v>
      </c>
      <c r="H6" s="24">
        <f t="shared" ca="1" si="1"/>
        <v>5</v>
      </c>
      <c r="I6" s="5" t="b">
        <f t="shared" ca="1" si="2"/>
        <v>0</v>
      </c>
      <c r="J6" s="15">
        <f>COUNTIF($F$4:F6, 1) / COUNTA($B$4:B6)</f>
        <v>1</v>
      </c>
      <c r="K6" s="15">
        <f t="shared" ref="K6" si="3">K7</f>
        <v>0</v>
      </c>
      <c r="L6" s="15">
        <f>COUNTIF($F$4:F6, 3) / COUNTA($B$4:B6)</f>
        <v>0</v>
      </c>
      <c r="M6" s="15">
        <f ca="1">COUNTIF($I$4:I6, TRUE) / COUNTA($B$4:B6)</f>
        <v>0</v>
      </c>
      <c r="N6" s="15">
        <f ca="1">COUNTIF($I$4:I6, FALSE) / COUNTA($B$4:B6)</f>
        <v>1</v>
      </c>
    </row>
    <row r="7" spans="1:14">
      <c r="A7" s="4" t="s">
        <v>20</v>
      </c>
      <c r="B7" s="4" t="s">
        <v>21</v>
      </c>
      <c r="C7" s="7">
        <v>444</v>
      </c>
      <c r="D7" s="7" t="s">
        <v>32</v>
      </c>
      <c r="E7" s="12">
        <v>27528</v>
      </c>
      <c r="F7" s="7">
        <v>3</v>
      </c>
      <c r="G7" s="9">
        <f t="shared" ca="1" si="0"/>
        <v>50</v>
      </c>
      <c r="H7" s="23">
        <f t="shared" ca="1" si="1"/>
        <v>10</v>
      </c>
      <c r="I7" s="14" t="b">
        <f t="shared" ca="1" si="2"/>
        <v>0</v>
      </c>
      <c r="J7" s="16">
        <f>COUNTIF($F$4:F7, 1) / COUNTA($B$4:B7)</f>
        <v>0.75</v>
      </c>
      <c r="K7" s="16">
        <f>COUNTIF($F$4:F7, 2) / COUNTA($B$4:B7)</f>
        <v>0</v>
      </c>
      <c r="L7" s="16">
        <f>COUNTIF($F$4:F7, 3) / COUNTA($B$4:B7)</f>
        <v>0.25</v>
      </c>
      <c r="M7" s="16">
        <f ca="1">COUNTIF($I$4:I7, TRUE) / COUNTA($B$4:B7)</f>
        <v>0</v>
      </c>
      <c r="N7" s="16">
        <f ca="1">COUNTIF($I$4:I7, FALSE) / COUNTA($B$4:B7)</f>
        <v>1</v>
      </c>
    </row>
    <row r="8" spans="1:14">
      <c r="A8" s="3" t="s">
        <v>22</v>
      </c>
      <c r="B8" s="3" t="s">
        <v>23</v>
      </c>
      <c r="C8" s="6">
        <v>555</v>
      </c>
      <c r="D8" s="6" t="s">
        <v>32</v>
      </c>
      <c r="E8" s="11">
        <v>38355</v>
      </c>
      <c r="F8" s="6">
        <v>1</v>
      </c>
      <c r="G8" s="10">
        <f t="shared" ca="1" si="0"/>
        <v>21</v>
      </c>
      <c r="H8" s="24">
        <f t="shared" ca="1" si="1"/>
        <v>5</v>
      </c>
      <c r="I8" s="5" t="b">
        <f t="shared" ca="1" si="2"/>
        <v>0</v>
      </c>
      <c r="J8" s="15">
        <f>COUNTIF($F$4:F8, 1) / COUNTA($B$4:B8)</f>
        <v>0.8</v>
      </c>
      <c r="K8" s="15">
        <f t="shared" ref="K8" si="4">K9</f>
        <v>0.16666666666666666</v>
      </c>
      <c r="L8" s="15">
        <f>COUNTIF($F$4:F8, 3) / COUNTA($B$4:B8)</f>
        <v>0.2</v>
      </c>
      <c r="M8" s="15">
        <f ca="1">COUNTIF($I$4:I8, TRUE) / COUNTA($B$4:B8)</f>
        <v>0</v>
      </c>
      <c r="N8" s="15">
        <f ca="1">COUNTIF($I$4:I8, FALSE) / COUNTA($B$4:B8)</f>
        <v>1</v>
      </c>
    </row>
    <row r="9" spans="1:14">
      <c r="A9" s="4" t="s">
        <v>24</v>
      </c>
      <c r="B9" s="4" t="s">
        <v>25</v>
      </c>
      <c r="C9" s="7">
        <v>666</v>
      </c>
      <c r="D9" s="7" t="s">
        <v>31</v>
      </c>
      <c r="E9" s="12">
        <v>34983</v>
      </c>
      <c r="F9" s="7">
        <v>2</v>
      </c>
      <c r="G9" s="9">
        <f t="shared" ca="1" si="0"/>
        <v>30</v>
      </c>
      <c r="H9" s="23">
        <f t="shared" ca="1" si="1"/>
        <v>7</v>
      </c>
      <c r="I9" s="14" t="b">
        <f t="shared" ca="1" si="2"/>
        <v>0</v>
      </c>
      <c r="J9" s="16">
        <f>COUNTIF($F$4:F9, 1) / COUNTA($B$4:B9)</f>
        <v>0.66666666666666663</v>
      </c>
      <c r="K9" s="16">
        <f>COUNTIF($F$4:F9, 2) / COUNTA($B$4:B9)</f>
        <v>0.16666666666666666</v>
      </c>
      <c r="L9" s="16">
        <f>COUNTIF($F$4:F9, 3) / COUNTA($B$4:B9)</f>
        <v>0.16666666666666666</v>
      </c>
      <c r="M9" s="16">
        <f ca="1">COUNTIF($I$4:I9, TRUE) / COUNTA($B$4:B9)</f>
        <v>0</v>
      </c>
      <c r="N9" s="16">
        <f ca="1">COUNTIF($I$4:I9, FALSE) / COUNTA($B$4:B9)</f>
        <v>1</v>
      </c>
    </row>
    <row r="10" spans="1:14">
      <c r="A10" s="3" t="s">
        <v>26</v>
      </c>
      <c r="B10" s="3" t="s">
        <v>27</v>
      </c>
      <c r="C10" s="6">
        <v>777</v>
      </c>
      <c r="D10" s="6" t="s">
        <v>31</v>
      </c>
      <c r="E10" s="11">
        <v>23596</v>
      </c>
      <c r="F10" s="6">
        <v>3</v>
      </c>
      <c r="G10" s="10">
        <f t="shared" ca="1" si="0"/>
        <v>61</v>
      </c>
      <c r="H10" s="24">
        <f t="shared" ca="1" si="1"/>
        <v>5</v>
      </c>
      <c r="I10" s="5" t="b">
        <f t="shared" ca="1" si="2"/>
        <v>1</v>
      </c>
      <c r="J10" s="15">
        <f>COUNTIF($F$4:F10, 1) / COUNTA($B$4:B10)</f>
        <v>0.5714285714285714</v>
      </c>
      <c r="K10" s="15">
        <f t="shared" ref="K10" si="5">K11</f>
        <v>0.125</v>
      </c>
      <c r="L10" s="15">
        <f>COUNTIF($F$4:F10, 3) / COUNTA($B$4:B10)</f>
        <v>0.2857142857142857</v>
      </c>
      <c r="M10" s="15">
        <f ca="1">COUNTIF($I$4:I10, TRUE) / COUNTA($B$4:B10)</f>
        <v>0.14285714285714285</v>
      </c>
      <c r="N10" s="15">
        <f ca="1">COUNTIF($I$4:I10, FALSE) / COUNTA($B$4:B10)</f>
        <v>0.8571428571428571</v>
      </c>
    </row>
    <row r="11" spans="1:14">
      <c r="A11" s="4" t="s">
        <v>28</v>
      </c>
      <c r="B11" s="26" t="s">
        <v>29</v>
      </c>
      <c r="C11" s="27">
        <v>888</v>
      </c>
      <c r="D11" s="27" t="s">
        <v>32</v>
      </c>
      <c r="E11" s="28">
        <v>24307</v>
      </c>
      <c r="F11" s="27">
        <v>1</v>
      </c>
      <c r="G11" s="8">
        <f t="shared" ca="1" si="0"/>
        <v>59</v>
      </c>
      <c r="H11" s="29">
        <f t="shared" ca="1" si="1"/>
        <v>2.5</v>
      </c>
      <c r="I11" s="13" t="b">
        <f t="shared" ca="1" si="2"/>
        <v>1</v>
      </c>
      <c r="J11" s="17">
        <f>COUNTIF($F$4:F11, 1) / COUNTA($B$4:B11)</f>
        <v>0.625</v>
      </c>
      <c r="K11" s="17">
        <f>COUNTIF($F$4:F11, 2) / COUNTA($B$4:B11)</f>
        <v>0.125</v>
      </c>
      <c r="L11" s="17">
        <f>COUNTIF($F$4:F11, 3) / COUNTA($B$4:B11)</f>
        <v>0.25</v>
      </c>
      <c r="M11" s="17">
        <f ca="1">COUNTIF($I$4:I11, TRUE) / COUNTA($B$4:B11)</f>
        <v>0.25</v>
      </c>
      <c r="N11" s="17">
        <f ca="1">COUNTIF($I$4:I11, FALSE) / COUNTA($B$4:B11)</f>
        <v>0.75</v>
      </c>
    </row>
    <row r="17" spans="5:9">
      <c r="E17" t="s">
        <v>33</v>
      </c>
      <c r="I17" s="20">
        <f ca="1">SUM(H4:H11)</f>
        <v>44.5</v>
      </c>
    </row>
    <row r="18" spans="5:9">
      <c r="E18" t="s">
        <v>34</v>
      </c>
      <c r="I18" s="21">
        <f ca="1">SUMIF(F4:F11, 1, H4:H11)</f>
        <v>22.5</v>
      </c>
    </row>
    <row r="19" spans="5:9">
      <c r="E19" t="s">
        <v>35</v>
      </c>
      <c r="I19" s="21">
        <f ca="1">SUMIF(F4:F11, 2, H4:H11)</f>
        <v>7</v>
      </c>
    </row>
    <row r="20" spans="5:9">
      <c r="E20" t="s">
        <v>36</v>
      </c>
      <c r="I20" s="21">
        <f ca="1">SUMIF(F4:F11, 3, H4:H11)</f>
        <v>15</v>
      </c>
    </row>
    <row r="21" spans="5:9">
      <c r="E21" t="s">
        <v>37</v>
      </c>
      <c r="I21" s="18">
        <f>COUNTIF(F4:F11, 1) / COUNTA(B4:B11)</f>
        <v>0.625</v>
      </c>
    </row>
    <row r="22" spans="5:9">
      <c r="E22" t="s">
        <v>38</v>
      </c>
      <c r="I22" s="18">
        <f>COUNTIF(F4:F11, 2) / COUNTA(B4:B11)</f>
        <v>0.125</v>
      </c>
    </row>
    <row r="23" spans="5:9">
      <c r="E23" t="s">
        <v>39</v>
      </c>
      <c r="I23" s="19">
        <f>COUNTIF(F4:F11, 3) / COUNTA(B4:B11)</f>
        <v>0.25</v>
      </c>
    </row>
    <row r="24" spans="5:9">
      <c r="E24" t="s">
        <v>40</v>
      </c>
      <c r="I24" s="19">
        <f ca="1">COUNTIF(I4:I11, TRUE) / COUNTA(B4:B11)</f>
        <v>0.25</v>
      </c>
    </row>
    <row r="25" spans="5:9">
      <c r="E25" t="s">
        <v>41</v>
      </c>
      <c r="I25" s="19">
        <f ca="1">COUNTIF(I4:I11, FALSE) / COUNTA(B4:B11)</f>
        <v>0.75</v>
      </c>
    </row>
    <row r="26" spans="5:9">
      <c r="E26" t="s">
        <v>42</v>
      </c>
      <c r="I26" s="25">
        <f ca="1">SUMIF(I4:I11, TRUE, H4:H11)</f>
        <v>7.5</v>
      </c>
    </row>
  </sheetData>
  <pageMargins left="0.7" right="0.7" top="0.75" bottom="0.75" header="0.3" footer="0.3"/>
  <ignoredErrors>
    <ignoredError sqref="J5:J11 L5:L11" formulaRange="1"/>
    <ignoredError sqref="K5:K11" formula="1" formulaRange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BOOM</dc:creator>
  <cp:lastModifiedBy>BOOM</cp:lastModifiedBy>
  <dcterms:created xsi:type="dcterms:W3CDTF">2015-06-05T18:17:20Z</dcterms:created>
  <dcterms:modified xsi:type="dcterms:W3CDTF">2026-04-30T13:37:06Z</dcterms:modified>
</cp:coreProperties>
</file>